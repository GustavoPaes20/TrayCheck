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ICs" sheetId="1" r:id="rId5"/>
    <sheet state="visible" name="Histórico de Alterações" sheetId="2" r:id="rId6"/>
    <sheet state="visible" name="Legenda" sheetId="3" r:id="rId7"/>
  </sheets>
  <definedNames/>
  <calcPr/>
</workbook>
</file>

<file path=xl/sharedStrings.xml><?xml version="1.0" encoding="utf-8"?>
<sst xmlns="http://schemas.openxmlformats.org/spreadsheetml/2006/main" count="183" uniqueCount="106">
  <si>
    <t>LEGENDA E INSTRUÇÕES DE PREENCHIMENTO</t>
  </si>
  <si>
    <t>HISTÓRICO DE ALTERAÇÕES DOS ITENS DE CONFIGURAÇÃO</t>
  </si>
  <si>
    <t xml:space="preserve">CONTROLE DE ITENS DE CONFIGURAÇÃO (ICs) — PROJETO </t>
  </si>
  <si>
    <t>Coluna</t>
  </si>
  <si>
    <t>Checklist de Instrumentos Cirúrgicos Pré-Cirurgia com Assistência de Voz — Plano de Gerência de Configuração</t>
  </si>
  <si>
    <t>Registro de cada mudança relevante realizada em um IC já controlado (nova versão, correção, revisão).</t>
  </si>
  <si>
    <t>Instrução</t>
  </si>
  <si>
    <t>ID do IC</t>
  </si>
  <si>
    <t>Data</t>
  </si>
  <si>
    <t>Total de ICs</t>
  </si>
  <si>
    <t>Código único do item de configuração, no formato IC-NN (ex.: IC-01). Nunca reutilize um código já usado, mesmo que o IC se torne obsoleto.</t>
  </si>
  <si>
    <t>Versão Anterior</t>
  </si>
  <si>
    <t>Versão Nova</t>
  </si>
  <si>
    <t>Descrição da Alteração</t>
  </si>
  <si>
    <t>Responsável pela Alteração</t>
  </si>
  <si>
    <t>Aprovado por</t>
  </si>
  <si>
    <t>Nome do Item de Configuração</t>
  </si>
  <si>
    <t>Nome claro e objetivo do artefato controlado (documento, código-fonte, modelo etc.).</t>
  </si>
  <si>
    <t>26/08/2026</t>
  </si>
  <si>
    <t>Em desenvolvimento</t>
  </si>
  <si>
    <t>Tipo</t>
  </si>
  <si>
    <t>Classificação do IC. Selecione na lista: Documento, Código-fonte, Modelo/Diagrama, Plano, Executável, Dado de Teste.</t>
  </si>
  <si>
    <t>IC-01</t>
  </si>
  <si>
    <t>Descrição</t>
  </si>
  <si>
    <t>—</t>
  </si>
  <si>
    <t>Breve explicação do que é o item e sua finalidade dentro do projeto.</t>
  </si>
  <si>
    <t>Em revisão</t>
  </si>
  <si>
    <t>1.0</t>
  </si>
  <si>
    <t>Versão Atual</t>
  </si>
  <si>
    <t>Criação inicial do Plano de Projeto.</t>
  </si>
  <si>
    <t>Versão vigente do IC (ex.: 1.0, 0.1). Toda nova versão relevante deve ser registrada na aba 'Histórico de Alterações'.</t>
  </si>
  <si>
    <t>Product Owner</t>
  </si>
  <si>
    <t>Status</t>
  </si>
  <si>
    <t>Aprovado</t>
  </si>
  <si>
    <t>Orientador(a)</t>
  </si>
  <si>
    <t>Situação atual do IC. Selecione na lista: Em desenvolvimento, Em revisão, Aprovado, Baseline, Obsoleto.</t>
  </si>
  <si>
    <t>Responsável</t>
  </si>
  <si>
    <t>Papel ou pessoa responsável por manter e atualizar o IC (ver Plano de Projeto, seção 6).</t>
  </si>
  <si>
    <t>Baseline</t>
  </si>
  <si>
    <t>Localização / Repositório</t>
  </si>
  <si>
    <t>Onde o IC está armazenado (ex.: repositório Git, pasta no Drive, ferramenta de gestão).</t>
  </si>
  <si>
    <t>Data de Criação</t>
  </si>
  <si>
    <t>Obsoleto</t>
  </si>
  <si>
    <t>Data em que o IC foi criado/registrado pela primeira vez.</t>
  </si>
  <si>
    <t>Última Atualização</t>
  </si>
  <si>
    <t>Data da alteração mais recente do IC.</t>
  </si>
  <si>
    <t>Observações</t>
  </si>
  <si>
    <t>Informações adicionais relevantes, pendências ou dependências com outros ICs.</t>
  </si>
  <si>
    <t>Significado dos Status</t>
  </si>
  <si>
    <t>O IC está sendo criado ou modificado e ainda não foi submetido à revisão.</t>
  </si>
  <si>
    <t>O IC foi concluído e está sendo avaliado pelo responsável, equipe ou orientador.</t>
  </si>
  <si>
    <t>O IC foi revisado e aceito, mas ainda não compõe uma baseline formal.</t>
  </si>
  <si>
    <t>O IC faz parte de uma baseline (marco) formalmente estabelecida do projeto e só pode ser alterado por processo de controle de mudanças.</t>
  </si>
  <si>
    <t>O IC foi substituído ou descontinuado, mas mantido para fins de histórico.</t>
  </si>
  <si>
    <t>Plano de Projeto</t>
  </si>
  <si>
    <t>Documento</t>
  </si>
  <si>
    <t>Documento de planejamento geral do projeto VoxCheck (escopo, cronograma, papéis, riscos).</t>
  </si>
  <si>
    <t>Baseline inicial do projeto.</t>
  </si>
  <si>
    <t>IC-02</t>
  </si>
  <si>
    <t>Plano de Gerência de Configuração</t>
  </si>
  <si>
    <t>Documento que define os ICs, esquema de versionamento e controle de mudanças.</t>
  </si>
  <si>
    <t>Scrum Master</t>
  </si>
  <si>
    <t>Aguardando validação do orientador.</t>
  </si>
  <si>
    <t>IC-03</t>
  </si>
  <si>
    <t>Documento de Requisitos</t>
  </si>
  <si>
    <t>Especificação dos requisitos funcionais e não funcionais do sistema.</t>
  </si>
  <si>
    <t>Em elaboração junto ao backlog.</t>
  </si>
  <si>
    <t>IC-04</t>
  </si>
  <si>
    <t>Backlog do Produto</t>
  </si>
  <si>
    <t>Lista priorizada de histórias de usuário e tarefas das sprints.</t>
  </si>
  <si>
    <t>Atualizado a cada sprint planning.</t>
  </si>
  <si>
    <t>IC-05</t>
  </si>
  <si>
    <t>Modelo de Dados (DER)</t>
  </si>
  <si>
    <t>Modelo/Diagrama</t>
  </si>
  <si>
    <t>Diagrama entidade-relacionamento do banco de dados do sistema.</t>
  </si>
  <si>
    <t>0.1</t>
  </si>
  <si>
    <t>Desenvolvedor(a) Backend</t>
  </si>
  <si>
    <t>IC-06</t>
  </si>
  <si>
    <t>Código-fonte – Backend/API</t>
  </si>
  <si>
    <t>Código-fonte</t>
  </si>
  <si>
    <t>API e regras de negócio dos módulos de cadastro e checklist.</t>
  </si>
  <si>
    <t>Estrutura inicial do projeto.</t>
  </si>
  <si>
    <t>IC-07</t>
  </si>
  <si>
    <t>Código-fonte – Frontend</t>
  </si>
  <si>
    <t>Interface web/mobile do sistema de checklist.</t>
  </si>
  <si>
    <t>Desenvolvedor(a) Frontend</t>
  </si>
  <si>
    <t>IC-08</t>
  </si>
  <si>
    <t>Módulo de Assistência de Voz</t>
  </si>
  <si>
    <t>Integração de reconhecimento e síntese de voz para comandos do checklist.</t>
  </si>
  <si>
    <t>Especialista em Voz/IA</t>
  </si>
  <si>
    <t>Depende da definição da API de voz (IC-05).</t>
  </si>
  <si>
    <t>IC-09</t>
  </si>
  <si>
    <t>Casos de Teste</t>
  </si>
  <si>
    <t>Roteiro de casos de teste funcionais do sistema.</t>
  </si>
  <si>
    <t>QA e Documentação</t>
  </si>
  <si>
    <t>IC-10</t>
  </si>
  <si>
    <t>Relatório de Testes</t>
  </si>
  <si>
    <t>Resultados da execução dos testes e registro de bugs encontrados.</t>
  </si>
  <si>
    <t>IC-11</t>
  </si>
  <si>
    <t>Manual do Usuário</t>
  </si>
  <si>
    <t>Guia de uso do sistema para a equipe de instrumentação cirúrgica.</t>
  </si>
  <si>
    <t>A ser redigido junto à documentação final.</t>
  </si>
  <si>
    <t>IC-12</t>
  </si>
  <si>
    <t>Apresentação Final</t>
  </si>
  <si>
    <t>Slides de apresentação do projeto para o orientador/banca.</t>
  </si>
  <si>
    <t>Equipe do Projeto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</si>
</sst>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305496"/>
      <name val="Arial"/>
    </font>
    <font>
      <b/>
      <sz val="10.0"/>
      <color rgb="FFFFFFFF"/>
      <name val="Arial"/>
    </font>
    <font>
      <i/>
      <sz val="10.0"/>
      <color rgb="FF595959"/>
      <name val="Arial"/>
    </font>
    <font>
      <b/>
      <sz val="10.0"/>
      <color theme="1"/>
      <name val="Arial"/>
    </font>
    <font>
      <b/>
      <sz val="9.0"/>
      <color rgb="FF305496"/>
      <name val="Arial"/>
    </font>
    <font>
      <sz val="10.0"/>
      <color theme="1"/>
      <name val="Arial"/>
    </font>
    <font/>
    <font>
      <b/>
      <sz val="12.0"/>
      <color rgb="FF1F4E78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E9EFF7"/>
        <bgColor rgb="FFE9EFF7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5">
    <border/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2" fillId="0" fontId="4" numFmtId="0" xfId="0" applyAlignment="1" applyBorder="1" applyFont="1">
      <alignment horizontal="left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4" fillId="0" fontId="7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ill="1" applyFont="1">
      <alignment shrinkToFit="0" vertical="bottom" wrapText="0"/>
    </xf>
    <xf borderId="2" fillId="5" fontId="6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2" fillId="6" fontId="6" numFmtId="0" xfId="0" applyAlignment="1" applyBorder="1" applyFill="1" applyFont="1">
      <alignment horizontal="left" shrinkToFit="0" vertical="center" wrapText="1"/>
    </xf>
    <xf borderId="2" fillId="7" fontId="6" numFmtId="0" xfId="0" applyAlignment="1" applyBorder="1" applyFill="1" applyFont="1">
      <alignment horizontal="left" shrinkToFit="0" vertical="center" wrapText="1"/>
    </xf>
    <xf borderId="2" fillId="8" fontId="6" numFmtId="0" xfId="0" applyAlignment="1" applyBorder="1" applyFill="1" applyFont="1">
      <alignment horizontal="left" shrinkToFit="0" vertical="center" wrapText="1"/>
    </xf>
    <xf borderId="2" fillId="9" fontId="6" numFmtId="0" xfId="0" applyAlignment="1" applyBorder="1" applyFill="1" applyFont="1">
      <alignment horizontal="left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5" fontId="6" numFmtId="0" xfId="0" applyAlignment="1" applyBorder="1" applyFill="1" applyFont="1">
      <alignment horizontal="center" readingOrder="0" shrinkToFit="0" vertical="center" wrapText="1"/>
    </xf>
    <xf borderId="2" fillId="5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20.29"/>
    <col customWidth="1" min="4" max="4" width="42.0"/>
    <col customWidth="1" min="5" max="5" width="12.0"/>
    <col customWidth="1" min="6" max="6" width="22.71"/>
    <col customWidth="1" min="7" max="7" width="22.0"/>
    <col customWidth="1" min="8" max="8" width="28.0"/>
    <col customWidth="1" min="9" max="9" width="14.0"/>
    <col customWidth="1" min="10" max="10" width="16.0"/>
    <col customWidth="1" min="11" max="11" width="32.0"/>
    <col customWidth="1" min="12" max="26" width="8.71"/>
  </cols>
  <sheetData>
    <row r="1" ht="24.0" customHeight="1">
      <c r="A1" s="2" t="s">
        <v>2</v>
      </c>
    </row>
    <row r="2" ht="15.75" customHeight="1">
      <c r="A2" s="4" t="s">
        <v>4</v>
      </c>
    </row>
    <row r="4" ht="15.0" customHeight="1">
      <c r="A4" s="7" t="s">
        <v>9</v>
      </c>
      <c r="B4" s="9"/>
      <c r="C4" s="7" t="s">
        <v>19</v>
      </c>
      <c r="D4" s="9"/>
      <c r="E4" s="7" t="s">
        <v>26</v>
      </c>
      <c r="F4" s="9"/>
      <c r="G4" s="7" t="s">
        <v>33</v>
      </c>
      <c r="H4" s="9"/>
      <c r="I4" s="7" t="s">
        <v>38</v>
      </c>
      <c r="J4" s="9"/>
      <c r="K4" s="11" t="s">
        <v>42</v>
      </c>
    </row>
    <row r="5" ht="19.5" customHeight="1">
      <c r="A5" s="14">
        <f>COUNTA(A9:A20)</f>
        <v>12</v>
      </c>
      <c r="C5" s="14">
        <f>COUNTIF(F9:F20,"Em desenvolvimento")</f>
        <v>12</v>
      </c>
      <c r="E5" s="14">
        <f>COUNTIF(F9:F20,"Em revisão")</f>
        <v>0</v>
      </c>
      <c r="G5" s="14">
        <f>COUNTIF(F9:F20,"Aprovado")</f>
        <v>0</v>
      </c>
      <c r="I5" s="14">
        <f>COUNTIF(F9:F20,"Baseline")</f>
        <v>0</v>
      </c>
      <c r="K5" s="14">
        <f>COUNTIF(F9:F20,"Obsoleto")</f>
        <v>0</v>
      </c>
    </row>
    <row r="8" ht="30.0" customHeight="1">
      <c r="A8" s="6" t="s">
        <v>7</v>
      </c>
      <c r="B8" s="6" t="s">
        <v>16</v>
      </c>
      <c r="C8" s="6" t="s">
        <v>20</v>
      </c>
      <c r="D8" s="6" t="s">
        <v>23</v>
      </c>
      <c r="E8" s="6" t="s">
        <v>28</v>
      </c>
      <c r="F8" s="6" t="s">
        <v>32</v>
      </c>
      <c r="G8" s="6" t="s">
        <v>36</v>
      </c>
      <c r="H8" s="6" t="s">
        <v>39</v>
      </c>
      <c r="I8" s="6" t="s">
        <v>41</v>
      </c>
      <c r="J8" s="6" t="s">
        <v>44</v>
      </c>
      <c r="K8" s="6" t="s">
        <v>46</v>
      </c>
    </row>
    <row r="9" ht="31.5" customHeight="1">
      <c r="A9" s="10" t="s">
        <v>22</v>
      </c>
      <c r="B9" s="8" t="s">
        <v>54</v>
      </c>
      <c r="C9" s="19" t="s">
        <v>55</v>
      </c>
      <c r="D9" s="8" t="s">
        <v>56</v>
      </c>
      <c r="E9" s="10" t="s">
        <v>27</v>
      </c>
      <c r="F9" s="20" t="s">
        <v>19</v>
      </c>
      <c r="G9" s="8" t="s">
        <v>31</v>
      </c>
      <c r="H9" s="8"/>
      <c r="I9" s="10" t="s">
        <v>18</v>
      </c>
      <c r="J9" s="10" t="s">
        <v>18</v>
      </c>
      <c r="K9" s="8" t="s">
        <v>57</v>
      </c>
    </row>
    <row r="10" ht="31.5" customHeight="1">
      <c r="A10" s="10" t="s">
        <v>58</v>
      </c>
      <c r="B10" s="8" t="s">
        <v>59</v>
      </c>
      <c r="C10" s="19" t="s">
        <v>55</v>
      </c>
      <c r="D10" s="8" t="s">
        <v>60</v>
      </c>
      <c r="E10" s="10" t="s">
        <v>27</v>
      </c>
      <c r="F10" s="20" t="s">
        <v>19</v>
      </c>
      <c r="G10" s="8" t="s">
        <v>61</v>
      </c>
      <c r="H10" s="8"/>
      <c r="I10" s="10" t="s">
        <v>18</v>
      </c>
      <c r="J10" s="10" t="s">
        <v>18</v>
      </c>
      <c r="K10" s="8" t="s">
        <v>62</v>
      </c>
    </row>
    <row r="11" ht="31.5" customHeight="1">
      <c r="A11" s="10" t="s">
        <v>63</v>
      </c>
      <c r="B11" s="8" t="s">
        <v>64</v>
      </c>
      <c r="C11" s="10" t="s">
        <v>55</v>
      </c>
      <c r="D11" s="8" t="s">
        <v>65</v>
      </c>
      <c r="E11" s="10" t="s">
        <v>27</v>
      </c>
      <c r="F11" s="21" t="s">
        <v>19</v>
      </c>
      <c r="G11" s="8" t="s">
        <v>31</v>
      </c>
      <c r="H11" s="8"/>
      <c r="I11" s="10"/>
      <c r="J11" s="10"/>
      <c r="K11" s="8" t="s">
        <v>66</v>
      </c>
    </row>
    <row r="12" ht="31.5" customHeight="1">
      <c r="A12" s="10" t="s">
        <v>67</v>
      </c>
      <c r="B12" s="8" t="s">
        <v>68</v>
      </c>
      <c r="C12" s="10" t="s">
        <v>55</v>
      </c>
      <c r="D12" s="8" t="s">
        <v>69</v>
      </c>
      <c r="E12" s="10" t="s">
        <v>27</v>
      </c>
      <c r="F12" s="21" t="s">
        <v>19</v>
      </c>
      <c r="G12" s="8" t="s">
        <v>31</v>
      </c>
      <c r="H12" s="8"/>
      <c r="I12" s="10"/>
      <c r="J12" s="10"/>
      <c r="K12" s="8" t="s">
        <v>70</v>
      </c>
    </row>
    <row r="13" ht="31.5" customHeight="1">
      <c r="A13" s="10" t="s">
        <v>71</v>
      </c>
      <c r="B13" s="8" t="s">
        <v>72</v>
      </c>
      <c r="C13" s="10" t="s">
        <v>73</v>
      </c>
      <c r="D13" s="8" t="s">
        <v>74</v>
      </c>
      <c r="E13" s="10" t="s">
        <v>75</v>
      </c>
      <c r="F13" s="21" t="s">
        <v>19</v>
      </c>
      <c r="G13" s="8" t="s">
        <v>76</v>
      </c>
      <c r="H13" s="8"/>
      <c r="I13" s="10" t="s">
        <v>24</v>
      </c>
      <c r="J13" s="10" t="s">
        <v>24</v>
      </c>
      <c r="K13" s="8"/>
    </row>
    <row r="14" ht="31.5" customHeight="1">
      <c r="A14" s="10" t="s">
        <v>77</v>
      </c>
      <c r="B14" s="8" t="s">
        <v>78</v>
      </c>
      <c r="C14" s="10" t="s">
        <v>79</v>
      </c>
      <c r="D14" s="8" t="s">
        <v>80</v>
      </c>
      <c r="E14" s="10" t="s">
        <v>75</v>
      </c>
      <c r="F14" s="21" t="s">
        <v>19</v>
      </c>
      <c r="G14" s="8" t="s">
        <v>76</v>
      </c>
      <c r="H14" s="8"/>
      <c r="I14" s="10" t="s">
        <v>24</v>
      </c>
      <c r="J14" s="10" t="s">
        <v>24</v>
      </c>
      <c r="K14" s="8" t="s">
        <v>81</v>
      </c>
    </row>
    <row r="15" ht="31.5" customHeight="1">
      <c r="A15" s="10" t="s">
        <v>82</v>
      </c>
      <c r="B15" s="8" t="s">
        <v>83</v>
      </c>
      <c r="C15" s="10" t="s">
        <v>79</v>
      </c>
      <c r="D15" s="8" t="s">
        <v>84</v>
      </c>
      <c r="E15" s="10" t="s">
        <v>75</v>
      </c>
      <c r="F15" s="21" t="s">
        <v>19</v>
      </c>
      <c r="G15" s="8" t="s">
        <v>85</v>
      </c>
      <c r="H15" s="8"/>
      <c r="I15" s="10" t="s">
        <v>24</v>
      </c>
      <c r="J15" s="10" t="s">
        <v>24</v>
      </c>
      <c r="K15" s="8" t="s">
        <v>81</v>
      </c>
    </row>
    <row r="16" ht="31.5" customHeight="1">
      <c r="A16" s="10" t="s">
        <v>86</v>
      </c>
      <c r="B16" s="8" t="s">
        <v>87</v>
      </c>
      <c r="C16" s="10" t="s">
        <v>79</v>
      </c>
      <c r="D16" s="8" t="s">
        <v>88</v>
      </c>
      <c r="E16" s="10" t="s">
        <v>75</v>
      </c>
      <c r="F16" s="21" t="s">
        <v>19</v>
      </c>
      <c r="G16" s="8" t="s">
        <v>89</v>
      </c>
      <c r="H16" s="8"/>
      <c r="I16" s="10" t="s">
        <v>24</v>
      </c>
      <c r="J16" s="10" t="s">
        <v>24</v>
      </c>
      <c r="K16" s="8" t="s">
        <v>90</v>
      </c>
    </row>
    <row r="17" ht="31.5" customHeight="1">
      <c r="A17" s="10" t="s">
        <v>91</v>
      </c>
      <c r="B17" s="8" t="s">
        <v>92</v>
      </c>
      <c r="C17" s="10" t="s">
        <v>55</v>
      </c>
      <c r="D17" s="8" t="s">
        <v>93</v>
      </c>
      <c r="E17" s="10" t="s">
        <v>75</v>
      </c>
      <c r="F17" s="21" t="s">
        <v>19</v>
      </c>
      <c r="G17" s="8" t="s">
        <v>94</v>
      </c>
      <c r="H17" s="8"/>
      <c r="I17" s="10" t="s">
        <v>24</v>
      </c>
      <c r="J17" s="10" t="s">
        <v>24</v>
      </c>
      <c r="K17" s="8"/>
    </row>
    <row r="18" ht="31.5" customHeight="1">
      <c r="A18" s="10" t="s">
        <v>95</v>
      </c>
      <c r="B18" s="8" t="s">
        <v>96</v>
      </c>
      <c r="C18" s="10" t="s">
        <v>55</v>
      </c>
      <c r="D18" s="8" t="s">
        <v>97</v>
      </c>
      <c r="E18" s="10" t="s">
        <v>24</v>
      </c>
      <c r="F18" s="21" t="s">
        <v>19</v>
      </c>
      <c r="G18" s="8" t="s">
        <v>94</v>
      </c>
      <c r="H18" s="8"/>
      <c r="I18" s="10" t="s">
        <v>24</v>
      </c>
      <c r="J18" s="10" t="s">
        <v>24</v>
      </c>
      <c r="K18" s="8"/>
    </row>
    <row r="19" ht="31.5" customHeight="1">
      <c r="A19" s="10" t="s">
        <v>98</v>
      </c>
      <c r="B19" s="8" t="s">
        <v>99</v>
      </c>
      <c r="C19" s="10" t="s">
        <v>55</v>
      </c>
      <c r="D19" s="8" t="s">
        <v>100</v>
      </c>
      <c r="E19" s="10" t="s">
        <v>24</v>
      </c>
      <c r="F19" s="21" t="s">
        <v>19</v>
      </c>
      <c r="G19" s="8" t="s">
        <v>94</v>
      </c>
      <c r="H19" s="8"/>
      <c r="I19" s="10" t="s">
        <v>24</v>
      </c>
      <c r="J19" s="10" t="s">
        <v>24</v>
      </c>
      <c r="K19" s="8" t="s">
        <v>101</v>
      </c>
    </row>
    <row r="20" ht="31.5" customHeight="1">
      <c r="A20" s="10" t="s">
        <v>102</v>
      </c>
      <c r="B20" s="8" t="s">
        <v>103</v>
      </c>
      <c r="C20" s="10" t="s">
        <v>55</v>
      </c>
      <c r="D20" s="8" t="s">
        <v>104</v>
      </c>
      <c r="E20" s="10" t="s">
        <v>24</v>
      </c>
      <c r="F20" s="21" t="s">
        <v>19</v>
      </c>
      <c r="G20" s="8" t="s">
        <v>105</v>
      </c>
      <c r="H20" s="8"/>
      <c r="I20" s="10" t="s">
        <v>24</v>
      </c>
      <c r="J20" s="10" t="s">
        <v>24</v>
      </c>
      <c r="K20" s="8"/>
    </row>
    <row r="21" ht="19.5" customHeight="1">
      <c r="A21" s="10"/>
      <c r="B21" s="8"/>
      <c r="C21" s="10"/>
      <c r="D21" s="8"/>
      <c r="E21" s="10"/>
      <c r="F21" s="10"/>
      <c r="G21" s="8"/>
      <c r="H21" s="8"/>
      <c r="I21" s="10"/>
      <c r="J21" s="10"/>
      <c r="K21" s="8"/>
    </row>
    <row r="22" ht="19.5" customHeight="1">
      <c r="A22" s="10"/>
      <c r="B22" s="8"/>
      <c r="C22" s="10"/>
      <c r="D22" s="8"/>
      <c r="E22" s="10"/>
      <c r="F22" s="10"/>
      <c r="G22" s="8"/>
      <c r="H22" s="8"/>
      <c r="I22" s="10"/>
      <c r="J22" s="10"/>
      <c r="K22" s="8"/>
    </row>
    <row r="23" ht="19.5" customHeight="1">
      <c r="A23" s="10"/>
      <c r="B23" s="8"/>
      <c r="C23" s="10"/>
      <c r="D23" s="8"/>
      <c r="E23" s="10"/>
      <c r="F23" s="10"/>
      <c r="G23" s="8"/>
      <c r="H23" s="8"/>
      <c r="I23" s="10"/>
      <c r="J23" s="10"/>
      <c r="K23" s="8"/>
    </row>
    <row r="24" ht="19.5" customHeight="1">
      <c r="A24" s="10"/>
      <c r="B24" s="8"/>
      <c r="C24" s="10"/>
      <c r="D24" s="8"/>
      <c r="E24" s="10"/>
      <c r="F24" s="10"/>
      <c r="G24" s="8"/>
      <c r="H24" s="8"/>
      <c r="I24" s="10"/>
      <c r="J24" s="10"/>
      <c r="K24" s="8"/>
    </row>
    <row r="25" ht="19.5" customHeight="1">
      <c r="A25" s="10"/>
      <c r="B25" s="8"/>
      <c r="C25" s="10"/>
      <c r="D25" s="8"/>
      <c r="E25" s="10"/>
      <c r="F25" s="10"/>
      <c r="G25" s="8"/>
      <c r="H25" s="8"/>
      <c r="I25" s="10"/>
      <c r="J25" s="10"/>
      <c r="K25" s="8"/>
    </row>
    <row r="26" ht="19.5" customHeight="1">
      <c r="A26" s="10"/>
      <c r="B26" s="8"/>
      <c r="C26" s="10"/>
      <c r="D26" s="8"/>
      <c r="E26" s="10"/>
      <c r="F26" s="10"/>
      <c r="G26" s="8"/>
      <c r="H26" s="8"/>
      <c r="I26" s="10"/>
      <c r="J26" s="10"/>
      <c r="K26" s="8"/>
    </row>
    <row r="27" ht="19.5" customHeight="1">
      <c r="A27" s="10"/>
      <c r="B27" s="8"/>
      <c r="C27" s="10"/>
      <c r="D27" s="8"/>
      <c r="E27" s="10"/>
      <c r="F27" s="10"/>
      <c r="G27" s="8"/>
      <c r="H27" s="8"/>
      <c r="I27" s="10"/>
      <c r="J27" s="10"/>
      <c r="K27" s="8"/>
    </row>
    <row r="28" ht="19.5" customHeight="1">
      <c r="A28" s="10"/>
      <c r="B28" s="8"/>
      <c r="C28" s="10"/>
      <c r="D28" s="8"/>
      <c r="E28" s="10"/>
      <c r="F28" s="10"/>
      <c r="G28" s="8"/>
      <c r="H28" s="8"/>
      <c r="I28" s="10"/>
      <c r="J28" s="10"/>
      <c r="K28" s="8"/>
    </row>
    <row r="29" ht="19.5" customHeight="1">
      <c r="A29" s="10"/>
      <c r="B29" s="8"/>
      <c r="C29" s="10"/>
      <c r="D29" s="8"/>
      <c r="E29" s="10"/>
      <c r="F29" s="10"/>
      <c r="G29" s="8"/>
      <c r="H29" s="8"/>
      <c r="I29" s="10"/>
      <c r="J29" s="10"/>
      <c r="K29" s="8"/>
    </row>
    <row r="30" ht="19.5" customHeight="1">
      <c r="A30" s="10"/>
      <c r="B30" s="8"/>
      <c r="C30" s="10"/>
      <c r="D30" s="8"/>
      <c r="E30" s="10"/>
      <c r="F30" s="10"/>
      <c r="G30" s="8"/>
      <c r="H30" s="8"/>
      <c r="I30" s="10"/>
      <c r="J30" s="10"/>
      <c r="K30" s="8"/>
    </row>
    <row r="31" ht="19.5" customHeight="1">
      <c r="A31" s="10"/>
      <c r="B31" s="8"/>
      <c r="C31" s="10"/>
      <c r="D31" s="8"/>
      <c r="E31" s="10"/>
      <c r="F31" s="10"/>
      <c r="G31" s="8"/>
      <c r="H31" s="8"/>
      <c r="I31" s="10"/>
      <c r="J31" s="10"/>
      <c r="K31" s="8"/>
    </row>
    <row r="32" ht="19.5" customHeight="1">
      <c r="A32" s="10"/>
      <c r="B32" s="8"/>
      <c r="C32" s="10"/>
      <c r="D32" s="8"/>
      <c r="E32" s="10"/>
      <c r="F32" s="10"/>
      <c r="G32" s="8"/>
      <c r="H32" s="8"/>
      <c r="I32" s="10"/>
      <c r="J32" s="10"/>
      <c r="K32" s="8"/>
    </row>
    <row r="33" ht="19.5" customHeight="1">
      <c r="A33" s="10"/>
      <c r="B33" s="8"/>
      <c r="C33" s="10"/>
      <c r="D33" s="8"/>
      <c r="E33" s="10"/>
      <c r="F33" s="10"/>
      <c r="G33" s="8"/>
      <c r="H33" s="8"/>
      <c r="I33" s="10"/>
      <c r="J33" s="10"/>
      <c r="K33" s="8"/>
    </row>
    <row r="34" ht="19.5" customHeight="1">
      <c r="A34" s="10"/>
      <c r="B34" s="8"/>
      <c r="C34" s="10"/>
      <c r="D34" s="8"/>
      <c r="E34" s="10"/>
      <c r="F34" s="10"/>
      <c r="G34" s="8"/>
      <c r="H34" s="8"/>
      <c r="I34" s="10"/>
      <c r="J34" s="10"/>
      <c r="K34" s="8"/>
    </row>
    <row r="35" ht="19.5" customHeight="1">
      <c r="A35" s="10"/>
      <c r="B35" s="8"/>
      <c r="C35" s="10"/>
      <c r="D35" s="8"/>
      <c r="E35" s="10"/>
      <c r="F35" s="10"/>
      <c r="G35" s="8"/>
      <c r="H35" s="8"/>
      <c r="I35" s="10"/>
      <c r="J35" s="10"/>
      <c r="K35" s="8"/>
    </row>
    <row r="36" ht="19.5" customHeight="1">
      <c r="A36" s="10"/>
      <c r="B36" s="8"/>
      <c r="C36" s="10"/>
      <c r="D36" s="8"/>
      <c r="E36" s="10"/>
      <c r="F36" s="10"/>
      <c r="G36" s="8"/>
      <c r="H36" s="8"/>
      <c r="I36" s="10"/>
      <c r="J36" s="10"/>
      <c r="K36" s="8"/>
    </row>
    <row r="37" ht="19.5" customHeight="1">
      <c r="A37" s="10"/>
      <c r="B37" s="8"/>
      <c r="C37" s="10"/>
      <c r="D37" s="8"/>
      <c r="E37" s="10"/>
      <c r="F37" s="10"/>
      <c r="G37" s="8"/>
      <c r="H37" s="8"/>
      <c r="I37" s="10"/>
      <c r="J37" s="10"/>
      <c r="K37" s="8"/>
    </row>
    <row r="38" ht="19.5" customHeight="1">
      <c r="A38" s="10"/>
      <c r="B38" s="8"/>
      <c r="C38" s="10"/>
      <c r="D38" s="8"/>
      <c r="E38" s="10"/>
      <c r="F38" s="10"/>
      <c r="G38" s="8"/>
      <c r="H38" s="8"/>
      <c r="I38" s="10"/>
      <c r="J38" s="10"/>
      <c r="K38" s="8"/>
    </row>
    <row r="39" ht="19.5" customHeight="1">
      <c r="A39" s="10"/>
      <c r="B39" s="8"/>
      <c r="C39" s="10"/>
      <c r="D39" s="8"/>
      <c r="E39" s="10"/>
      <c r="F39" s="10"/>
      <c r="G39" s="8"/>
      <c r="H39" s="8"/>
      <c r="I39" s="10"/>
      <c r="J39" s="10"/>
      <c r="K39" s="8"/>
    </row>
    <row r="40" ht="19.5" customHeight="1">
      <c r="A40" s="10"/>
      <c r="B40" s="8"/>
      <c r="C40" s="10"/>
      <c r="D40" s="8"/>
      <c r="E40" s="10"/>
      <c r="F40" s="10"/>
      <c r="G40" s="8"/>
      <c r="H40" s="8"/>
      <c r="I40" s="10"/>
      <c r="J40" s="10"/>
      <c r="K40" s="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5:B5"/>
    <mergeCell ref="C5:D5"/>
    <mergeCell ref="E5:F5"/>
    <mergeCell ref="G5:H5"/>
    <mergeCell ref="I5:J5"/>
    <mergeCell ref="A1:K1"/>
    <mergeCell ref="A2:K2"/>
    <mergeCell ref="A4:B4"/>
    <mergeCell ref="C4:D4"/>
    <mergeCell ref="E4:F4"/>
    <mergeCell ref="G4:H4"/>
    <mergeCell ref="I4:J4"/>
  </mergeCells>
  <dataValidations>
    <dataValidation type="list" allowBlank="1" sqref="F9:F40">
      <formula1>"Em desenvolvimento,Em revisão,Aprovado,Baseline,Obsoleto"</formula1>
    </dataValidation>
    <dataValidation type="list" allowBlank="1" sqref="C9:C40">
      <formula1>"Documento,Código-fonte,Modelo/Diagrama,Plano,Executável,Dado de Teste"</formula1>
    </dataValidation>
  </dataValidations>
  <printOptions/>
  <pageMargins bottom="0.5" footer="0.0" header="0.0" left="0.4" right="0.4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4.0"/>
    <col customWidth="1" min="4" max="4" width="12.0"/>
    <col customWidth="1" min="5" max="5" width="42.0"/>
    <col customWidth="1" min="6" max="6" width="24.0"/>
    <col customWidth="1" min="7" max="7" width="20.0"/>
    <col customWidth="1" min="8" max="26" width="8.71"/>
  </cols>
  <sheetData>
    <row r="1" ht="24.0" customHeight="1">
      <c r="A1" s="1" t="s">
        <v>1</v>
      </c>
    </row>
    <row r="2">
      <c r="A2" s="4" t="s">
        <v>5</v>
      </c>
    </row>
    <row r="4" ht="27.75" customHeight="1">
      <c r="A4" s="6" t="s">
        <v>8</v>
      </c>
      <c r="B4" s="6" t="s">
        <v>7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</row>
    <row r="5" ht="24.0" customHeight="1">
      <c r="A5" s="10" t="s">
        <v>18</v>
      </c>
      <c r="B5" s="10" t="s">
        <v>22</v>
      </c>
      <c r="C5" s="10" t="s">
        <v>24</v>
      </c>
      <c r="D5" s="10" t="s">
        <v>27</v>
      </c>
      <c r="E5" s="8" t="s">
        <v>29</v>
      </c>
      <c r="F5" s="8" t="s">
        <v>31</v>
      </c>
      <c r="G5" s="8" t="s">
        <v>34</v>
      </c>
    </row>
    <row r="6" ht="24.0" customHeight="1">
      <c r="A6" s="10"/>
      <c r="B6" s="10"/>
      <c r="C6" s="10"/>
      <c r="D6" s="10"/>
      <c r="E6" s="8"/>
      <c r="F6" s="8"/>
      <c r="G6" s="8"/>
    </row>
    <row r="7" ht="24.0" customHeight="1">
      <c r="A7" s="10"/>
      <c r="B7" s="10"/>
      <c r="C7" s="10"/>
      <c r="D7" s="10"/>
      <c r="E7" s="8"/>
      <c r="F7" s="8"/>
      <c r="G7" s="8"/>
    </row>
    <row r="8" ht="24.0" customHeight="1">
      <c r="A8" s="10"/>
      <c r="B8" s="10"/>
      <c r="C8" s="10"/>
      <c r="D8" s="10"/>
      <c r="E8" s="8"/>
      <c r="F8" s="8"/>
      <c r="G8" s="8"/>
    </row>
    <row r="9" ht="24.0" customHeight="1">
      <c r="A9" s="10"/>
      <c r="B9" s="10"/>
      <c r="C9" s="10"/>
      <c r="D9" s="10"/>
      <c r="E9" s="8"/>
      <c r="F9" s="8"/>
      <c r="G9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5" footer="0.0" header="0.0" left="0.4" right="0.4" top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 ht="24.0" customHeight="1">
      <c r="A1" s="1" t="s">
        <v>0</v>
      </c>
    </row>
    <row r="3">
      <c r="A3" s="3" t="s">
        <v>3</v>
      </c>
      <c r="B3" s="3" t="s">
        <v>6</v>
      </c>
    </row>
    <row r="4" ht="33.75" customHeight="1">
      <c r="A4" s="5" t="s">
        <v>7</v>
      </c>
      <c r="B4" s="8" t="s">
        <v>10</v>
      </c>
    </row>
    <row r="5" ht="33.75" customHeight="1">
      <c r="A5" s="5" t="s">
        <v>16</v>
      </c>
      <c r="B5" s="8" t="s">
        <v>17</v>
      </c>
    </row>
    <row r="6" ht="33.75" customHeight="1">
      <c r="A6" s="5" t="s">
        <v>20</v>
      </c>
      <c r="B6" s="8" t="s">
        <v>21</v>
      </c>
    </row>
    <row r="7" ht="33.75" customHeight="1">
      <c r="A7" s="5" t="s">
        <v>23</v>
      </c>
      <c r="B7" s="8" t="s">
        <v>25</v>
      </c>
    </row>
    <row r="8" ht="33.75" customHeight="1">
      <c r="A8" s="5" t="s">
        <v>28</v>
      </c>
      <c r="B8" s="8" t="s">
        <v>30</v>
      </c>
    </row>
    <row r="9" ht="33.75" customHeight="1">
      <c r="A9" s="5" t="s">
        <v>32</v>
      </c>
      <c r="B9" s="8" t="s">
        <v>35</v>
      </c>
    </row>
    <row r="10" ht="33.75" customHeight="1">
      <c r="A10" s="5" t="s">
        <v>36</v>
      </c>
      <c r="B10" s="8" t="s">
        <v>37</v>
      </c>
    </row>
    <row r="11" ht="33.75" customHeight="1">
      <c r="A11" s="5" t="s">
        <v>39</v>
      </c>
      <c r="B11" s="8" t="s">
        <v>40</v>
      </c>
    </row>
    <row r="12" ht="33.75" customHeight="1">
      <c r="A12" s="5" t="s">
        <v>41</v>
      </c>
      <c r="B12" s="8" t="s">
        <v>43</v>
      </c>
    </row>
    <row r="13" ht="33.75" customHeight="1">
      <c r="A13" s="5" t="s">
        <v>44</v>
      </c>
      <c r="B13" s="8" t="s">
        <v>45</v>
      </c>
    </row>
    <row r="14" ht="33.75" customHeight="1">
      <c r="A14" s="5" t="s">
        <v>46</v>
      </c>
      <c r="B14" s="8" t="s">
        <v>47</v>
      </c>
    </row>
    <row r="16">
      <c r="A16" s="12" t="s">
        <v>48</v>
      </c>
      <c r="B16" s="9"/>
    </row>
    <row r="17" ht="30.0" customHeight="1">
      <c r="A17" s="13" t="s">
        <v>19</v>
      </c>
      <c r="B17" s="8" t="s">
        <v>49</v>
      </c>
    </row>
    <row r="18" ht="30.0" customHeight="1">
      <c r="A18" s="15" t="s">
        <v>26</v>
      </c>
      <c r="B18" s="8" t="s">
        <v>50</v>
      </c>
    </row>
    <row r="19" ht="30.0" customHeight="1">
      <c r="A19" s="16" t="s">
        <v>33</v>
      </c>
      <c r="B19" s="8" t="s">
        <v>51</v>
      </c>
    </row>
    <row r="20" ht="30.0" customHeight="1">
      <c r="A20" s="17" t="s">
        <v>38</v>
      </c>
      <c r="B20" s="8" t="s">
        <v>52</v>
      </c>
    </row>
    <row r="21" ht="30.0" customHeight="1">
      <c r="A21" s="18" t="s">
        <v>42</v>
      </c>
      <c r="B21" s="8" t="s">
        <v>53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6:B16"/>
  </mergeCells>
  <printOptions/>
  <pageMargins bottom="0.5" footer="0.0" header="0.0" left="0.4" right="0.4" top="0.5"/>
  <pageSetup fitToHeight="0" orientation="landscape"/>
  <drawing r:id="rId1"/>
</worksheet>
</file>